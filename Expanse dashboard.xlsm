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c7a7418a5fef1f9d/Pictures/Documents/"/>
    </mc:Choice>
  </mc:AlternateContent>
  <xr:revisionPtr revIDLastSave="0" documentId="8_{E4E5A827-0A74-41F0-A629-D82CB31F48B6}" xr6:coauthVersionLast="47" xr6:coauthVersionMax="47" xr10:uidLastSave="{00000000-0000-0000-0000-000000000000}"/>
  <bookViews>
    <workbookView xWindow="-108" yWindow="-108" windowWidth="23256" windowHeight="13896"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<sst xmlns="http://schemas.openxmlformats.org/spreadsheetml/2006/main" count="3394" uniqueCount="927">
  <si>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</si>
  <si>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</si>
  <si>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</si>
  <si>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</si>
  <si>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</si>
  <si>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</si>
  <si>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</si>
  <si>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</si>
  <si>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</si>
  <si>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</si>
  <si>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</si>
  <si>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</si>
  <si>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</si>
  <si>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</si>
  <si>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</si>
  <si>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</si>
  <si>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</si>
  <si>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</si>
  <si>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</si>
  <si>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</si>
  <si>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</si>
  <si>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</si>
  <si>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</si>
  <si>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</si>
  <si>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</si>
  <si>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</si>
  <si>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</si>
  <si>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</si>
  <si>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</si>
  <si>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</si>
  <si>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</si>
  <si>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</si>
  <si>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</si>
  <si>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</si>
  <si>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</si>
  <si>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</si>
  <si>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</si>
  <si>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</si>
  <si>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</si>
  <si>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</si>
  <si>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</si>
  <si>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</si>
  <si>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</si>
  <si>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</si>
  <si>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</si>
  <si>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</si>
  <si>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</si>
  <si>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</si>
  <si>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</si>
  <si>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</si>
  <si>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</si>
  <si>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</si>
  <si>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</si>
  <si>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</si>
  <si>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</si>
  <si>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</si>
  <si>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</si>
  <si>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</si>
  <si>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</si>
  <si>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</si>
  <si>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</si>
  <si>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</si>
  <si>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</si>
  <si>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</si>
  <si>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</si>
  <si>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</si>
  <si>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</si>
  <si>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</si>
  <si>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</si>
  <si>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</si>
  <si>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</si>
  <si>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</si>
  <si>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</si>
  <si>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</si>
  <si>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</si>
  <si>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</si>
  <si>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</si>
  <si>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</si>
  <si>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</si>
  <si>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</si>
  <si>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</si>
  <si>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</si>
  <si>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</si>
  <si>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</si>
  <si>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</si>
  <si>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</si>
  <si>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</si>
  <si>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</si>
  <si>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</si>
  <si>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</si>
  <si>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</si>
  <si>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</si>
  <si>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</si>
  <si>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</si>
  <si>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</si>
  <si>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</si>
  <si>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</si>
  <si>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</si>
  <si>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</si>
  <si>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</si>
  <si>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</si>
  <si>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</si>
  <si>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</si>
  <si>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</si>
  <si>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</si>
  <si>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</si>
  <si>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</si>
  <si>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</si>
  <si>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</si>
  <si>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</si>
  <si>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</si>
  <si>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</si>
  <si>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</si>
  <si>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</si>
  <si>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</si>
  <si>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</si>
  <si>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</si>
  <si>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</si>
  <si>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</si>
  <si>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</si>
  <si>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</si>
  <si>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</si>
  <si>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</si>
  <si>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</si>
  <si>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</si>
  <si>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</si>
  <si>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</si>
  <si>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</si>
  <si>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</si>
  <si>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</si>
  <si>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</si>
  <si>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</si>
  <si>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</si>
  <si>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</si>
  <si>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</si>
  <si>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</si>
  <si>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</si>
  <si>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</si>
  <si>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</si>
  <si>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</si>
  <si>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</si>
  <si>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</si>
  <si>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</si>
  <si>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</si>
  <si>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</si>
  <si>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</si>
  <si>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</si>
  <si>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</si>
  <si>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</si>
  <si>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</si>
  <si>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</si>
  <si>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</si>
  <si>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</si>
  <si>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</si>
  <si>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</si>
  <si>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</si>
  <si>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</si>
  <si>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</si>
  <si>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</si>
  <si>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</si>
  <si>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</si>
  <si>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</si>
  <si>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</si>
  <si>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</si>
  <si>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</si>
  <si>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</si>
  <si>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</si>
  <si>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</si>
  <si>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</si>
  <si>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</si>
  <si>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</si>
  <si>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</si>
  <si>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</si>
  <si>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</si>
  <si>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</si>
  <si>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</si>
  <si>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</si>
  <si>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</si>
  <si>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</si>
  <si>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</si>
  <si>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</si>
  <si>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</si>
  <si>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</si>
  <si>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</si>
  <si>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</si>
  <si>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</si>
  <si>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</si>
  <si>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</si>
  <si>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</si>
  <si>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</si>
  <si>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</si>
  <si>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</si>
  <si>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</si>
  <si>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</si>
  <si>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</si>
  <si>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</si>
  <si>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</si>
  <si>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</si>
  <si>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</si>
  <si>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</si>
  <si>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</si>
  <si>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</si>
  <si>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</si>
  <si>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</si>
  <si>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</si>
  <si>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</si>
  <si>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</si>
  <si>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</si>
  <si>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</si>
  <si>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</si>
  <si>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</si>
  <si>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</si>
  <si>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</si>
  <si>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</si>
  <si>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</si>
  <si>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</si>
  <si>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</si>
  <si>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</si>
  <si>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</si>
  <si>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</si>
  <si>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</si>
  <si>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</si>
  <si>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</si>
  <si>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</si>
  <si>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</si>
  <si>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</si>
  <si>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</si>
  <si>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</si>
  <si>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</si>
  <si>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</si>
  <si>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</si>
  <si>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</si>
  <si>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</si>
  <si>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</si>
  <si>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</si>
  <si>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</si>
  <si>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</si>
  <si>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</si>
  <si>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</si>
  <si>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</si>
  <si>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</si>
  <si>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</si>
  <si>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</si>
  <si>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</si>
  <si>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</si>
  <si>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</si>
  <si>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</si>
  <si>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</si>
  <si>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</si>
  <si>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</si>
  <si>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</si>
  <si>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</si>
  <si>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</si>
  <si>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</si>
  <si>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</si>
  <si>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</si>
  <si>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</si>
  <si>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</si>
  <si>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</si>
  <si>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</si>
  <si>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</si>
  <si>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</si>
  <si>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</si>
  <si>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</si>
  <si>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</si>
  <si>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</si>
  <si>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</si>
  <si>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</si>
  <si>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</si>
  <si>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</si>
  <si>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</si>
  <si>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</si>
  <si>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</si>
  <si>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</si>
  <si>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</si>
  <si>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</si>
  <si>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</si>
  <si>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</si>
  <si>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</si>
  <si>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</si>
  <si>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</si>
  <si>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</si>
  <si>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</si>
  <si>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</si>
  <si>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</si>
  <si>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</si>
  <si>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</si>
  <si>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</si>
  <si>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</si>
  <si>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</si>
  <si>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</si>
  <si>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</si>
  <si>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</si>
  <si>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</si>
  <si>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</si>
  <si>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</si>
  <si>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</si>
  <si>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</si>
  <si>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</si>
  <si>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</si>
  <si>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</si>
  <si>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</si>
  <si>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</si>
  <si>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</si>
  <si>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</si>
  <si>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</si>
  <si>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</si>
  <si>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</si>
  <si>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</si>
  <si>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</si>
  <si>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</si>
  <si>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</si>
  <si>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</si>
  <si>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</si>
  <si>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</si>
  <si>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</si>
  <si>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</si>
  <si>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</si>
  <si>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</si>
  <si>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</si>
  <si>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</si>
  <si>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</si>
  <si>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</si>
  <si>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</si>
  <si>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</si>
  <si>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</si>
  <si>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</si>
  <si>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</si>
  <si>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</si>
  <si>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</si>
  <si>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</si>
  <si>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</si>
  <si>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</si>
  <si>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</si>
  <si>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</si>
  <si>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</si>
  <si>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</si>
  <si>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</si>
  <si>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</si>
  <si>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</si>
  <si>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</si>
  <si>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</si>
  <si>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</si>
  <si>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</si>
  <si>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</si>
  <si>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</si>
  <si>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</si>
  <si>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</si>
  <si>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</si>
  <si>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</si>
  <si>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</si>
  <si>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</si>
  <si>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</si>
  <si>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</si>
  <si>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</si>
  <si>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</si>
  <si>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</si>
  <si>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</si>
  <si>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</si>
  <si>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</si>
  <si>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</si>
  <si>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</si>
  <si>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</si>
  <si>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</si>
  <si>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</si>
  <si>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</si>
  <si>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</si>
  <si>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</si>
  <si>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</si>
  <si>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</si>
  <si>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</si>
  <si>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</si>
  <si>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</si>
  <si>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</si>
  <si>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</si>
  <si>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</si>
  <si>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</si>
  <si>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</si>
  <si>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</si>
  <si>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</si>
  <si>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</si>
  <si>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</si>
  <si>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</si>
  <si>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</si>
  <si>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</si>
  <si>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</si>
  <si>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</si>
  <si>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</si>
  <si>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</si>
  <si>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</si>
  <si>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</si>
  <si>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</si>
  <si>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</si>
  <si>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</si>
  <si>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</si>
  <si>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</si>
  <si>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</si>
  <si>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</si>
  <si>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</si>
  <si>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</si>
  <si>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</si>
  <si>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</si>
  <si>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</si>
  <si>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</si>
  <si>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</si>
  <si>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</si>
  <si>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</si>
  <si>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</si>
  <si>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</si>
  <si>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</si>
  <si>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</si>
  <si>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</si>
  <si>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</si>
  <si>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</si>
  <si>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</si>
  <si>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</si>
  <si>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</si>
  <si>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</si>
  <si>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</si>
  <si>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</si>
  <si>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</si>
  <si>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</si>
  <si>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</si>
  <si>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</si>
  <si>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</si>
  <si>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</si>
  <si>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</si>
  <si>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</si>
  <si>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</si>
  <si>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</si>
  <si>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</si>
  <si>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</si>
  <si>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</si>
  <si>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</si>
  <si>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</si>
  <si>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</si>
  <si>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</si>
  <si>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</si>
  <si>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</si>
  <si>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</si>
  <si>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</si>
  <si>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</si>
  <si>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</si>
  <si>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</si>
  <si>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</si>
  <si>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</si>
  <si>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</si>
  <si>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</si>
  <si>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</si>
  <si>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</si>
  <si>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</si>
  <si>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</si>
  <si>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</si>
  <si>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</si>
  <si>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</si>
  <si>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</si>
  <si>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</si>
  <si>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</si>
  <si>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</si>
  <si>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</si>
  <si>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</si>
  <si>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</si>
  <si>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</si>
  <si>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</si>
  <si>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</si>
  <si>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</si>
  <si>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</si>
  <si>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</si>
  <si>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</si>
  <si>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</si>
  <si>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</si>
  <si>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</si>
  <si>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</si>
  <si>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</si>
  <si>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</si>
  <si>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</si>
  <si>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</si>
  <si>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</si>
  <si>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</si>
  <si>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</si>
  <si>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</si>
  <si>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</si>
  <si>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</si>
  <si>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</si>
  <si>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</si>
  <si>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</si>
  <si>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</si>
  <si>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</si>
  <si>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</si>
  <si>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</si>
  <si>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</si>
  <si>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</si>
  <si>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</si>
  <si>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</si>
  <si>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</si>
  <si>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</si>
  <si>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</si>
  <si>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</si>
  <si>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</si>
  <si>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</si>
  <si>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</si>
  <si>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</si>
  <si>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</si>
  <si>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</si>
  <si>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</si>
  <si>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</si>
  <si>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</si>
  <si>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</si>
  <si>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</si>
  <si>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</si>
  <si>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</si>
  <si>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</si>
  <si>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</si>
  <si>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</si>
  <si>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</si>
  <si>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</si>
  <si>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</si>
  <si>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</si>
  <si>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</si>
  <si>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</si>
  <si>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</si>
  <si>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</si>
  <si>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</si>
  <si>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</si>
  <si>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</si>
  <si>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</si>
  <si>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</si>
  <si>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</si>
  <si>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</si>
  <si>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</si>
  <si>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</si>
  <si>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</si>
  <si>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</si>
  <si>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</si>
  <si>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</si>
  <si>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</si>
  <si>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</si>
  <si>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</si>
  <si>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</si>
  <si>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</si>
  <si>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</si>
  <si>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</si>
  <si>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</si>
  <si>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</si>
  <si>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</si>
  <si>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</si>
  <si>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</si>
  <si>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</si>
  <si>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</si>
  <si>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</si>
  <si>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</si>
  <si>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</si>
  <si>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</si>
  <si>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</si>
  <si>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</si>
  <si>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</si>
  <si>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</si>
  <si>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</si>
  <si>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</si>
  <si>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</si>
  <si>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</si>
  <si>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</si>
  <si>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</si>
  <si>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</si>
  <si>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</si>
  <si>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</si>
  <si>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</si>
  <si>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</si>
  <si>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</si>
  <si>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</si>
  <si>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</si>
  <si>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</si>
  <si>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</si>
  <si>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</si>
  <si>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</si>
  <si>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</si>
  <si>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</si>
  <si>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</si>
  <si>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</si>
  <si>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</si>
  <si>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</si>
  <si>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</si>
  <si>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</si>
  <si>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</si>
  <si>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</si>
  <si>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</si>
  <si>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</si>
  <si>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</si>
  <si>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</si>
  <si>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</si>
  <si>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</si>
  <si>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</si>
  <si>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</si>
  <si>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</si>
  <si>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</si>
  <si>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</si>
  <si>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</si>
  <si>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</si>
  <si>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</si>
  <si>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</si>
  <si>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</si>
  <si>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</si>
  <si>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</si>
  <si>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</si>
  <si>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</si>
  <si>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</si>
  <si>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</si>
  <si>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</si>
  <si>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</si>
  <si>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</si>
  <si>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</si>
  <si>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</si>
  <si>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</si>
  <si>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</si>
  <si>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</si>
  <si>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</si>
  <si>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</si>
  <si>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</si>
  <si>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</si>
  <si>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</si>
  <si>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</si>
  <si>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</si>
  <si>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</si>
  <si>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</si>
  <si>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</si>
  <si>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</si>
  <si>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</si>
  <si>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</si>
  <si>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</si>
  <si>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</si>
  <si>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</si>
  <si>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</si>
  <si>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</si>
  <si>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</si>
  <si>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</si>
  <si>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</si>
  <si>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</si>
  <si>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</si>
  <si>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</si>
  <si>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</si>
  <si>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</si>
  <si>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</si>
  <si>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</si>
  <si>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</si>
  <si>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</si>
  <si>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</si>
  <si>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</si>
  <si>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</si>
  <si>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</si>
  <si>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</si>
  <si>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</si>
  <si>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</si>
  <si>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</si>
  <si>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</si>
  <si>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</si>
  <si>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</si>
  <si>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</si>
  <si>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</si>
  <si>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</si>
  <si>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</si>
  <si>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</si>
  <si>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</si>
  <si>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</si>
  <si>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</si>
  <si>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</si>
  <si>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</si>
  <si>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</si>
  <si>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</si>
  <si>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</si>
  <si>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</si>
  <si>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</si>
  <si>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</si>
  <si>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</si>
  <si>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</si>
  <si>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</si>
  <si>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</si>
  <si>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</si>
  <si>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</si>
  <si>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</si>
  <si>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</si>
  <si>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</si>
  <si>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</si>
  <si>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</si>
  <si>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</si>
  <si>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</si>
  <si>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</si>
  <si>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</si>
  <si>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</si>
  <si>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</si>
  <si>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</si>
  <si>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</si>
  <si>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</si>
  <si>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</si>
  <si>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</si>
  <si>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</si>
  <si>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</si>
  <si>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</si>
  <si>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</si>
  <si>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</si>
  <si>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</si>
  <si>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</si>
  <si>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</si>
  <si>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</si>
  <si>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</si>
  <si>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</si>
  <si>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</si>
  <si>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</si>
  <si>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</si>
  <si>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</si>
  <si>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</si>
  <si>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</si>
  <si>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</si>
  <si>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</si>
  <si>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</si>
  <si>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</si>
  <si>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</si>
  <si>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</si>
  <si>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</si>
  <si>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</si>
  <si>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</si>
  <si>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</si>
  <si>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</si>
  <si>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</si>
  <si>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</si>
  <si>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</si>
  <si>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</si>
  <si>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</si>
  <si>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</si>
  <si>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</si>
  <si>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</si>
  <si>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</si>
  <si>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</si>
  <si>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</si>
  <si>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</si>
  <si>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</si>
  <si>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</si>
  <si>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</si>
  <si>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</si>
  <si>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</si>
  <si>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</si>
  <si>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</si>
  <si>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</si>
  <si>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</si>
  <si>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</si>
  <si>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</si>
  <si>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</si>
  <si>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</si>
  <si>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</si>
  <si>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</si>
  <si>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</si>
  <si>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</si>
  <si>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</si>
  <si>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</si>
  <si>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</si>
  <si>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</si>
  <si>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</si>
  <si>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</si>
  <si>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</si>
  <si>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</si>
  <si>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</si>
  <si>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</si>
  <si>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</si>
  <si>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</si>
  <si>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</si>
  <si>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</si>
  <si>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</si>
  <si>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</si>
  <si>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</si>
  <si>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</si>
  <si>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</si>
  <si>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</si>
  <si>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</si>
  <si>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</si>
  <si>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</si>
  <si>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</si>
  <si>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</si>
  <si>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</si>
  <si>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</si>
  <si>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</si>
  <si>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</si>
  <si>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</si>
  <si>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</si>
  <si>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</si>
  <si>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</si>
  <si>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</si>
  <si>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</si>
  <si>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</si>
  <si>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</si>
  <si>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</si>
  <si>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</si>
  <si>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</si>
  <si>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</si>
  <si>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</si>
  <si>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</si>
  <si>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</si>
  <si>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</si>
  <si>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</si>
  <si>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</si>
  <si>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</si>
  <si>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</si>
  <si>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</si>
  <si>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</si>
  <si>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</si>
  <si>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</si>
  <si>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</si>
  <si>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</si>
  <si>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</si>
  <si>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</si>
  <si>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</si>
  <si>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</si>
  <si>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</si>
  <si>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</si>
  <si>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</si>
  <si>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</si>
  <si>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</si>
  <si>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</si>
  <si>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</si>
  <si>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</si>
  <si>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</si>
  <si>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</si>
  <si>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</si>
  <si>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</si>
  <si>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</si>
  <si>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</si>
  <si>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</si>
  <si>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</si>
  <si>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</si>
  <si>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</si>
  <si>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</si>
  <si>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</si>
  <si>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</si>
  <si>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</si>
  <si>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</si>
  <si>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</si>
  <si>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</si>
  <si>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</si>
  <si>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</si>
  <si>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</si>
  <si>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</si>
  <si>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</si>
  <si>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</si>
  <si>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</si>
  <si>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</si>
  <si>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</si>
  <si>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</si>
  <si>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</si>
  <si>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</si>
  <si>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</si>
  <si>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</si>
  <si>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</si>
  <si>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</si>
  <si>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</si>
  <si>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</si>
  <si>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</si>
  <si>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</si>
  <si>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</si>
  <si>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</si>
  <si>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</si>
  <si>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</si>
  <si>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</si>
  <si>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</si>
  <si>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</si>
  <si>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</si>
  <si>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</si>
  <si>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</si>
  <si>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</si>
  <si>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</si>
  <si>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</si>
  <si>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</si>
  <si>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</si>
  <si>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</si>
  <si>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</si>
  <si>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</si>
  <si>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</si>
  <si>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</si>
  <si>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</si>
  <si>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</si>
  <si>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</si>
  <si>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</si>
  <si>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</si>
  <si>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</si>
  <si>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</si>
  <si>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</si>
  <si>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</si>
  <si>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</si>
  <si>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</si>
  <si>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</si>
  <si>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</si>
  <si>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</si>
  <si>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</si>
  <si>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</si>
  <si>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</si>
  <si>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</si>
  <si>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</si>
  <si>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</si>
  <si>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</si>
  <si>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</si>
  <si>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</si>
  <si>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</si>
  <si>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</si>
  <si>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</si>
  <si>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</si>
  <si>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</si>
  <si>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</si>
  <si>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</si>
  <si>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</si>
  <si>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</si>
  <si>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</si>
  <si>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</si>
  <si>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</si>
  <si>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</si>
  <si>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</si>
  <si>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</si>
  <si>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</si>
  <si>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</si>
  <si>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</si>
  <si>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</si>
  <si>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</si>
  <si>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</si>
  <si>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</si>
  <si>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</si>
  <si>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Feb</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</si>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</sst>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1316">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143544</c:v>
                </c:pt>
                <c:pt idx="1">
                  <c:v>148630</c:v>
                </c:pt>
                <c:pt idx="2">
                  <c:v>259830</c:v>
                </c:pt>
                <c:pt idx="3">
                  <c:v>256690</c:v>
                </c:pt>
                <c:pt idx="4">
                  <c:v>51333</c:v>
                </c:pt>
                <c:pt idx="5">
                  <c:v>198572</c:v>
                </c:pt>
              </c:numCache>
            </c:numRef>
          </c:val>
          <c:extLst>
            <c:ext xmlns:c16="http://schemas.microsoft.com/office/drawing/2014/chart" uri="{C3380CC4-5D6E-409C-BE32-E72D297353CC}">
              <c16:uniqueId val="{00000000-1E95-43D5-95CA-6044B0DBC7D8}"/>
            </c:ext>
          </c:extLst>
        </c:ser>
        <c:dLbls>
          <c:showLegendKey val="0"/>
          <c:showVal val="0"/>
          <c:showCatName val="0"/>
          <c:showSerName val="0"/>
          <c:showPercent val="0"/>
          <c:showBubbleSize val="0"/>
        </c:dLbls>
        <c:gapWidth val="150"/>
        <c:axId val="447643807"/>
        <c:axId val="450221839"/>
      </c:barChart>
      <c:catAx>
        <c:axId val="447643807"/>
        <c:scaling>
          <c:orientation val="minMax"/>
        </c:scaling>
        <c:delete val="0"/>
        <c:axPos val="b"/>
        <c:numFmt formatCode="General" sourceLinked="1"/>
        <c:majorTickMark val="out"/>
        <c:minorTickMark val="none"/>
        <c:tickLblPos val="nextTo"/>
        <c:spPr>
          <a:ln>
            <a:solidFill>
              <a:srgbClr val="D2D2D2"/>
            </a:solidFill>
          </a:ln>
        </c:spPr>
        <c:crossAx val="450221839"/>
        <c:crosses val="autoZero"/>
        <c:auto val="1"/>
        <c:lblAlgn val="ctr"/>
        <c:lblOffset val="100"/>
        <c:noMultiLvlLbl val="0"/>
      </c:catAx>
      <c:valAx>
        <c:axId val="45022183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447643807"/>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4E40-46D4-8C3D-BC6363D9A11F}"/>
              </c:ext>
            </c:extLst>
          </c:dPt>
          <c:dPt>
            <c:idx val="1"/>
            <c:bubble3D val="0"/>
            <c:spPr>
              <a:solidFill>
                <a:srgbClr val="84C637"/>
              </a:solidFill>
              <a:ln>
                <a:solidFill>
                  <a:srgbClr val="FFFFFF"/>
                </a:solidFill>
              </a:ln>
            </c:spPr>
            <c:extLst>
              <c:ext xmlns:c16="http://schemas.microsoft.com/office/drawing/2014/chart" uri="{C3380CC4-5D6E-409C-BE32-E72D297353CC}">
                <c16:uniqueId val="{00000002-4E40-46D4-8C3D-BC6363D9A11F}"/>
              </c:ext>
            </c:extLst>
          </c:dPt>
          <c:dPt>
            <c:idx val="2"/>
            <c:bubble3D val="0"/>
            <c:spPr>
              <a:solidFill>
                <a:srgbClr val="5DB13A"/>
              </a:solidFill>
              <a:ln>
                <a:solidFill>
                  <a:srgbClr val="FFFFFF"/>
                </a:solidFill>
              </a:ln>
            </c:spPr>
            <c:extLst>
              <c:ext xmlns:c16="http://schemas.microsoft.com/office/drawing/2014/chart" uri="{C3380CC4-5D6E-409C-BE32-E72D297353CC}">
                <c16:uniqueId val="{00000003-4E40-46D4-8C3D-BC6363D9A11F}"/>
              </c:ext>
            </c:extLst>
          </c:dPt>
          <c:dPt>
            <c:idx val="3"/>
            <c:bubble3D val="0"/>
            <c:spPr>
              <a:solidFill>
                <a:srgbClr val="168A96"/>
              </a:solidFill>
              <a:ln>
                <a:solidFill>
                  <a:srgbClr val="FFFFFF"/>
                </a:solidFill>
              </a:ln>
            </c:spPr>
            <c:extLst>
              <c:ext xmlns:c16="http://schemas.microsoft.com/office/drawing/2014/chart" uri="{C3380CC4-5D6E-409C-BE32-E72D297353CC}">
                <c16:uniqueId val="{00000004-4E40-46D4-8C3D-BC6363D9A11F}"/>
              </c:ext>
            </c:extLst>
          </c:dPt>
          <c:dPt>
            <c:idx val="4"/>
            <c:bubble3D val="0"/>
            <c:spPr>
              <a:solidFill>
                <a:srgbClr val="7030A0"/>
              </a:solidFill>
              <a:ln>
                <a:solidFill>
                  <a:srgbClr val="FFFFFF"/>
                </a:solidFill>
              </a:ln>
            </c:spPr>
            <c:extLst>
              <c:ext xmlns:c16="http://schemas.microsoft.com/office/drawing/2014/chart" uri="{C3380CC4-5D6E-409C-BE32-E72D297353CC}">
                <c16:uniqueId val="{00000005-4E40-46D4-8C3D-BC6363D9A11F}"/>
              </c:ext>
            </c:extLst>
          </c:dPt>
          <c:dPt>
            <c:idx val="5"/>
            <c:bubble3D val="0"/>
            <c:spPr>
              <a:solidFill>
                <a:srgbClr val="618724"/>
              </a:solidFill>
              <a:ln>
                <a:solidFill>
                  <a:srgbClr val="FFFFFF"/>
                </a:solidFill>
              </a:ln>
            </c:spPr>
            <c:extLst>
              <c:ext xmlns:c16="http://schemas.microsoft.com/office/drawing/2014/chart" uri="{C3380CC4-5D6E-409C-BE32-E72D297353CC}">
                <c16:uniqueId val="{00000006-4E40-46D4-8C3D-BC6363D9A11F}"/>
              </c:ext>
            </c:extLst>
          </c:dPt>
          <c:dPt>
            <c:idx val="6"/>
            <c:bubble3D val="0"/>
            <c:spPr>
              <a:solidFill>
                <a:srgbClr val="91A0AA"/>
              </a:solidFill>
              <a:ln>
                <a:solidFill>
                  <a:srgbClr val="FFFFFF"/>
                </a:solidFill>
              </a:ln>
            </c:spPr>
            <c:extLst>
              <c:ext xmlns:c16="http://schemas.microsoft.com/office/drawing/2014/chart" uri="{C3380CC4-5D6E-409C-BE32-E72D297353CC}">
                <c16:uniqueId val="{00000007-4E40-46D4-8C3D-BC6363D9A11F}"/>
              </c:ext>
            </c:extLst>
          </c:dPt>
          <c:dPt>
            <c:idx val="7"/>
            <c:bubble3D val="0"/>
            <c:spPr>
              <a:solidFill>
                <a:srgbClr val="ED7D31"/>
              </a:solidFill>
              <a:ln>
                <a:solidFill>
                  <a:srgbClr val="FFFFFF"/>
                </a:solidFill>
              </a:ln>
            </c:spPr>
            <c:extLst>
              <c:ext xmlns:c16="http://schemas.microsoft.com/office/drawing/2014/chart" uri="{C3380CC4-5D6E-409C-BE32-E72D297353CC}">
                <c16:uniqueId val="{00000008-4E40-46D4-8C3D-BC6363D9A11F}"/>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Office Supplies</c:v>
                </c:pt>
                <c:pt idx="3">
                  <c:v>Software</c:v>
                </c:pt>
                <c:pt idx="4">
                  <c:v>Training</c:v>
                </c:pt>
                <c:pt idx="5">
                  <c:v>Travel</c:v>
                </c:pt>
                <c:pt idx="6">
                  <c:v>Utilities</c:v>
                </c:pt>
                <c:pt idx="7">
                  <c:v>Grand Total</c:v>
                </c:pt>
              </c:strCache>
            </c:strRef>
          </c:cat>
          <c:val>
            <c:numRef>
              <c:f>Pivot!$E$51:$E$58</c:f>
              <c:numCache>
                <c:formatCode>#,##0,"K"</c:formatCode>
                <c:ptCount val="8"/>
                <c:pt idx="0">
                  <c:v>336690</c:v>
                </c:pt>
                <c:pt idx="1">
                  <c:v>322587</c:v>
                </c:pt>
                <c:pt idx="2">
                  <c:v>20310</c:v>
                </c:pt>
                <c:pt idx="3">
                  <c:v>217732</c:v>
                </c:pt>
                <c:pt idx="4">
                  <c:v>69412</c:v>
                </c:pt>
                <c:pt idx="5">
                  <c:v>59230</c:v>
                </c:pt>
                <c:pt idx="6">
                  <c:v>32638</c:v>
                </c:pt>
                <c:pt idx="7">
                  <c:v>1058599</c:v>
                </c:pt>
              </c:numCache>
            </c:numRef>
          </c:val>
          <c:extLst>
            <c:ext xmlns:c16="http://schemas.microsoft.com/office/drawing/2014/chart" uri="{C3380CC4-5D6E-409C-BE32-E72D297353CC}">
              <c16:uniqueId val="{00000000-4E40-46D4-8C3D-BC6363D9A11F}"/>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Feb</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1058599</c:v>
                </c:pt>
                <c:pt idx="1">
                  <c:v>1058599</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474-497E-A73A-923A1004AD0A}"/>
            </c:ext>
          </c:extLst>
        </c:ser>
        <c:dLbls>
          <c:showLegendKey val="0"/>
          <c:showVal val="0"/>
          <c:showCatName val="0"/>
          <c:showSerName val="0"/>
          <c:showPercent val="0"/>
          <c:showBubbleSize val="0"/>
        </c:dLbls>
        <c:marker val="1"/>
        <c:smooth val="0"/>
        <c:axId val="579634879"/>
        <c:axId val="450217519"/>
      </c:lineChart>
      <c:catAx>
        <c:axId val="579634879"/>
        <c:scaling>
          <c:orientation val="minMax"/>
        </c:scaling>
        <c:delete val="0"/>
        <c:axPos val="b"/>
        <c:numFmt formatCode="General" sourceLinked="1"/>
        <c:majorTickMark val="out"/>
        <c:minorTickMark val="none"/>
        <c:tickLblPos val="nextTo"/>
        <c:spPr>
          <a:ln>
            <a:solidFill>
              <a:srgbClr val="D2D2D2"/>
            </a:solidFill>
          </a:ln>
        </c:spPr>
        <c:crossAx val="450217519"/>
        <c:crosses val="autoZero"/>
        <c:auto val="1"/>
        <c:lblAlgn val="ctr"/>
        <c:lblOffset val="100"/>
        <c:noMultiLvlLbl val="0"/>
      </c:catAx>
      <c:valAx>
        <c:axId val="45021751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7963487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143544</c:v>
                </c:pt>
                <c:pt idx="1">
                  <c:v>148630</c:v>
                </c:pt>
                <c:pt idx="2">
                  <c:v>259830</c:v>
                </c:pt>
                <c:pt idx="3">
                  <c:v>256690</c:v>
                </c:pt>
                <c:pt idx="4">
                  <c:v>51333</c:v>
                </c:pt>
                <c:pt idx="5">
                  <c:v>198572</c:v>
                </c:pt>
              </c:numCache>
            </c:numRef>
          </c:val>
          <c:extLst>
            <c:ext xmlns:c16="http://schemas.microsoft.com/office/drawing/2014/chart" uri="{C3380CC4-5D6E-409C-BE32-E72D297353CC}">
              <c16:uniqueId val="{00000000-6D0E-495A-8DAA-1911C95C3EA0}"/>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173370</c:v>
                </c:pt>
                <c:pt idx="1">
                  <c:v>188489</c:v>
                </c:pt>
                <c:pt idx="2">
                  <c:v>286728</c:v>
                </c:pt>
                <c:pt idx="3">
                  <c:v>320371</c:v>
                </c:pt>
                <c:pt idx="4">
                  <c:v>61943</c:v>
                </c:pt>
                <c:pt idx="5">
                  <c:v>254950</c:v>
                </c:pt>
              </c:numCache>
            </c:numRef>
          </c:val>
          <c:extLst>
            <c:ext xmlns:c16="http://schemas.microsoft.com/office/drawing/2014/chart" uri="{C3380CC4-5D6E-409C-BE32-E72D297353CC}">
              <c16:uniqueId val="{00000001-6D0E-495A-8DAA-1911C95C3EA0}"/>
            </c:ext>
          </c:extLst>
        </c:ser>
        <c:dLbls>
          <c:showLegendKey val="0"/>
          <c:showVal val="0"/>
          <c:showCatName val="0"/>
          <c:showSerName val="0"/>
          <c:showPercent val="0"/>
          <c:showBubbleSize val="0"/>
        </c:dLbls>
        <c:gapWidth val="150"/>
        <c:axId val="579770735"/>
        <c:axId val="450265039"/>
      </c:barChart>
      <c:catAx>
        <c:axId val="579770735"/>
        <c:scaling>
          <c:orientation val="minMax"/>
        </c:scaling>
        <c:delete val="0"/>
        <c:axPos val="b"/>
        <c:numFmt formatCode="General" sourceLinked="1"/>
        <c:majorTickMark val="out"/>
        <c:minorTickMark val="none"/>
        <c:tickLblPos val="nextTo"/>
        <c:spPr>
          <a:ln>
            <a:solidFill>
              <a:srgbClr val="D2D2D2"/>
            </a:solidFill>
          </a:ln>
        </c:spPr>
        <c:crossAx val="450265039"/>
        <c:crosses val="autoZero"/>
        <c:auto val="1"/>
        <c:lblAlgn val="ctr"/>
        <c:lblOffset val="100"/>
        <c:noMultiLvlLbl val="0"/>
      </c:catAx>
      <c:valAx>
        <c:axId val="450265039"/>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79770735"/>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333416</c:v>
                </c:pt>
                <c:pt idx="1">
                  <c:v>298641</c:v>
                </c:pt>
                <c:pt idx="2">
                  <c:v>260750</c:v>
                </c:pt>
                <c:pt idx="3">
                  <c:v>165792</c:v>
                </c:pt>
              </c:numCache>
            </c:numRef>
          </c:val>
          <c:extLst>
            <c:ext xmlns:c16="http://schemas.microsoft.com/office/drawing/2014/chart" uri="{C3380CC4-5D6E-409C-BE32-E72D297353CC}">
              <c16:uniqueId val="{00000000-2889-4C62-B357-351177C52A7E}"/>
            </c:ext>
          </c:extLst>
        </c:ser>
        <c:dLbls>
          <c:showLegendKey val="0"/>
          <c:showVal val="0"/>
          <c:showCatName val="0"/>
          <c:showSerName val="0"/>
          <c:showPercent val="0"/>
          <c:showBubbleSize val="0"/>
        </c:dLbls>
        <c:gapWidth val="70"/>
        <c:axId val="580716687"/>
        <c:axId val="450235279"/>
      </c:barChart>
      <c:catAx>
        <c:axId val="580716687"/>
        <c:scaling>
          <c:orientation val="minMax"/>
        </c:scaling>
        <c:delete val="0"/>
        <c:axPos val="l"/>
        <c:numFmt formatCode="General" sourceLinked="1"/>
        <c:majorTickMark val="out"/>
        <c:minorTickMark val="none"/>
        <c:tickLblPos val="nextTo"/>
        <c:spPr>
          <a:ln>
            <a:solidFill>
              <a:srgbClr val="D2D2D2"/>
            </a:solidFill>
          </a:ln>
        </c:spPr>
        <c:crossAx val="450235279"/>
        <c:crosses val="autoZero"/>
        <c:auto val="1"/>
        <c:lblAlgn val="ctr"/>
        <c:lblOffset val="100"/>
        <c:noMultiLvlLbl val="0"/>
      </c:catAx>
      <c:valAx>
        <c:axId val="450235279"/>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80716687"/>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9C321C4C-8D12-99D4-9415-9DF769134127}"/>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CEF5EAAD-C307-2ACF-0130-843F0B2498D3}"/>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5C83CB2E-C13F-2114-E4D7-004D2A7FCDB0}"/>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E5117A28-F630-2EB1-45EC-C469200EBB20}"/>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Aug 16,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A2231960-AD66-8B1E-82B1-1E7D8DF2421B}"/>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1B89A8D6-3FF2-08EE-FEC0-0930D477E1CC}"/>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97D8A9DE-5E23-DAE6-F4A0-D3E867A136B5}"/>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1A48E034-09A5-64AE-97A2-446F78B6A6EE}"/>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4158D69-0BEF-4EFC-89C2-08190029536C}" type="TxLink">
            <a:rPr lang="en-US" sz="2800" b="1" i="0" u="none" strike="noStrike">
              <a:solidFill>
                <a:srgbClr val="054A19"/>
              </a:solidFill>
              <a:latin typeface="Aptos"/>
            </a:rPr>
            <a:t>1,059K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C0304215-C378-A91C-6BB9-C223D7355605}"/>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6D109A59-0C06-B855-4205-AC713795F5CA}"/>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C2EA7E1E-7BF4-9F52-6346-8C090CAA65F2}"/>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CCCBCFF8-EDC0-1F0B-9FDF-86131F9E30CB}"/>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A3BBF69B-E8CD-A1AB-3546-A93F5306BDA0}"/>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28E94D1-3CE4-4D0E-969C-CA57CFBAEB9B}" type="TxLink">
            <a:rPr lang="en-US" sz="2800" b="1" i="0" u="none" strike="noStrike">
              <a:solidFill>
                <a:srgbClr val="054A19"/>
              </a:solidFill>
              <a:latin typeface="Aptos"/>
            </a:rPr>
            <a:t>1,286K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F4DDCDE5-90E4-22A1-A56C-AA0C31013681}"/>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32789B1A-01C6-7A39-37CA-CF28BAAE0721}"/>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3E808A65-B79A-A863-9C1C-C2DB31914BED}"/>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E0B2435C-9CBD-C183-15F0-20D7D5F97283}"/>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611546F0-5778-0062-55A0-CF31F1DA3D82}"/>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A1533DF-02C0-4739-B213-72718C74E36F}" type="TxLink">
            <a:rPr lang="en-US" sz="2800" b="1" i="0" u="none" strike="noStrike">
              <a:solidFill>
                <a:srgbClr val="054A19"/>
              </a:solidFill>
              <a:latin typeface="Aptos"/>
            </a:rPr>
            <a:t>227K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FA58BD36-8EA3-EFA2-4275-D676419FA714}"/>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0F402745-9C43-5C02-09EE-97E70609B932}"/>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14B37213-4807-4974-ADB0-659A9B9E382B}"/>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A88907E3-9C31-6A93-134B-11CD2EE082ED}"/>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6C27778E-997E-1781-7169-C14657994332}"/>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C559651-3121-47E6-8861-5D67AFD168F2}" type="TxLink">
            <a:rPr lang="en-US" sz="2800" b="1" i="0" u="none" strike="noStrike">
              <a:solidFill>
                <a:srgbClr val="054A19"/>
              </a:solidFill>
              <a:latin typeface="Aptos"/>
            </a:rPr>
            <a:t>28</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7EAE549A-E3FA-201C-AEFC-254448CDEBE4}"/>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6016C924-D87B-145F-3CD4-2EF9447A7BE6}"/>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7B817B3A-6541-F685-5A70-16F80284E8B5}"/>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71D8D852-B6F3-046B-3ED1-D5C0D66ED47B}"/>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E4D82BDA-5804-62C4-297D-76CA7FA80938}"/>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AB6328D-822B-437B-91AC-F50A0FC69726}" type="TxLink">
            <a:rPr lang="en-US" sz="2800" b="1" i="0" u="none" strike="noStrike">
              <a:solidFill>
                <a:srgbClr val="054A19"/>
              </a:solidFill>
              <a:latin typeface="Aptos"/>
            </a:rPr>
            <a:t>75.0%</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C0142DB2-BEB9-F833-48AA-A0A3F0EB7A0C}"/>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E23E6930-EAE7-E008-B544-4544556CBD27}"/>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649CCC8D-FC51-C016-5805-BBD14AB54445}"/>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FBF1A97B-C291-908E-3E48-49A83FE4BE95}"/>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ED6CF0CD-7F8B-FBC5-DD4E-511273626419}"/>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DE49919-456B-46EF-89F9-1B808C29CA16}" type="TxLink">
            <a:rPr lang="en-US" sz="2800" b="1" i="0" u="none" strike="noStrike">
              <a:solidFill>
                <a:srgbClr val="054A19"/>
              </a:solidFill>
              <a:latin typeface="Aptos"/>
            </a:rPr>
            <a:t>38K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321124F8-FAAE-D0C6-B903-F83913D68E98}"/>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557D5BD7-F2BE-3668-5651-EF2F477EBE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700D6F7A-92C2-4DBF-6140-21A7F79166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493D4D74-BBCD-F55E-7349-C2D79B538E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B3D87E26-DC10-0BCA-450C-92F46540EB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7B35FBFB-DB0F-4AA1-DEFB-7E105347E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21E80E71-FA0F-3FD3-9CEF-D07C782EFDC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364116" y="2229031"/>
              <a:ext cx="4496041" cy="1164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328399A7-1CC6-A310-8838-2F8D4D28CFA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364116" y="3393198"/>
              <a:ext cx="4496041" cy="9313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7620</xdr:colOff>
      <xdr:row>10</xdr:row>
      <xdr:rowOff>60960</xdr:rowOff>
    </xdr:from>
    <xdr:to>
      <xdr:col>20</xdr:col>
      <xdr:colOff>312420</xdr:colOff>
      <xdr:row>15</xdr:row>
      <xdr:rowOff>60960</xdr:rowOff>
    </xdr:to>
    <xdr:sp macro="[0]!BuildExpensesDashboard" textlink="">
      <xdr:nvSpPr>
        <xdr:cNvPr id="2" name="Oval 1">
          <a:extLst>
            <a:ext uri="{FF2B5EF4-FFF2-40B4-BE49-F238E27FC236}">
              <a16:creationId xmlns:a16="http://schemas.microsoft.com/office/drawing/2014/main" id="{8F21233B-FA63-6851-201F-557EB8066144}"/>
            </a:ext>
          </a:extLst>
        </xdr:cNvPr>
        <xdr:cNvSpPr/>
      </xdr:nvSpPr>
      <xdr:spPr>
        <a:xfrm>
          <a:off x="11590020" y="1889760"/>
          <a:ext cx="914400" cy="914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hi</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RSANI GUNASEKARAN" refreshedDate="46250.794417708334" createdVersion="8" refreshedVersion="8" minRefreshableVersion="3" recordCount="415" xr:uid="{82B3A4BA-9210-467E-8B53-9B25F553C31A}">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4906123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B0F005-4B6A-474F-8E81-CF83368D3CB5}" name="PT_BudgetVsActual"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1253">
      <pivotArea type="all" dataOnly="0" outline="0" fieldPosition="0"/>
    </format>
    <format dxfId="1252">
      <pivotArea outline="0" collapsedLevelsAreSubtotals="1" fieldPosition="0"/>
    </format>
    <format dxfId="1251">
      <pivotArea field="2" type="button" dataOnly="0" labelOnly="1" outline="0" axis="axisRow" fieldPosition="0"/>
    </format>
    <format dxfId="1250">
      <pivotArea dataOnly="0" labelOnly="1" outline="0" fieldPosition="0">
        <references count="1">
          <reference field="2" count="0"/>
        </references>
      </pivotArea>
    </format>
    <format dxfId="1249">
      <pivotArea dataOnly="0" labelOnly="1" grandRow="1" outline="0" fieldPosition="0"/>
    </format>
    <format dxfId="1248">
      <pivotArea dataOnly="0" labelOnly="1" outline="0" fieldPosition="0">
        <references count="1">
          <reference field="4294967294" count="2">
            <x v="0"/>
            <x v="1"/>
          </reference>
        </references>
      </pivotArea>
    </format>
    <format dxfId="1247">
      <pivotArea type="all" dataOnly="0" outline="0" fieldPosition="0"/>
    </format>
    <format dxfId="1246">
      <pivotArea outline="0" collapsedLevelsAreSubtotals="1" fieldPosition="0"/>
    </format>
    <format dxfId="1245">
      <pivotArea field="2" type="button" dataOnly="0" labelOnly="1" outline="0" axis="axisRow" fieldPosition="0"/>
    </format>
    <format dxfId="1244">
      <pivotArea dataOnly="0" labelOnly="1" outline="0" fieldPosition="0">
        <references count="1">
          <reference field="2" count="0"/>
        </references>
      </pivotArea>
    </format>
    <format dxfId="1243">
      <pivotArea dataOnly="0" labelOnly="1" grandRow="1" outline="0" fieldPosition="0"/>
    </format>
    <format dxfId="124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15FCBB-36B1-498B-A60A-D8C1CB19E962}" name="PT_PaymentMetho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1265">
      <pivotArea type="all" dataOnly="0" outline="0" fieldPosition="0"/>
    </format>
    <format dxfId="1264">
      <pivotArea outline="0" collapsedLevelsAreSubtotals="1" fieldPosition="0"/>
    </format>
    <format dxfId="1263">
      <pivotArea field="6" type="button" dataOnly="0" labelOnly="1" outline="0" axis="axisRow" fieldPosition="0"/>
    </format>
    <format dxfId="1262">
      <pivotArea dataOnly="0" labelOnly="1" outline="0" fieldPosition="0">
        <references count="1">
          <reference field="6" count="0"/>
        </references>
      </pivotArea>
    </format>
    <format dxfId="1261">
      <pivotArea dataOnly="0" labelOnly="1" grandRow="1" outline="0" fieldPosition="0"/>
    </format>
    <format dxfId="1260">
      <pivotArea dataOnly="0" labelOnly="1" outline="0" axis="axisValues" fieldPosition="0"/>
    </format>
    <format dxfId="1259">
      <pivotArea type="all" dataOnly="0" outline="0" fieldPosition="0"/>
    </format>
    <format dxfId="1258">
      <pivotArea outline="0" collapsedLevelsAreSubtotals="1" fieldPosition="0"/>
    </format>
    <format dxfId="1257">
      <pivotArea field="6" type="button" dataOnly="0" labelOnly="1" outline="0" axis="axisRow" fieldPosition="0"/>
    </format>
    <format dxfId="1256">
      <pivotArea dataOnly="0" labelOnly="1" outline="0" fieldPosition="0">
        <references count="1">
          <reference field="6" count="0"/>
        </references>
      </pivotArea>
    </format>
    <format dxfId="1255">
      <pivotArea dataOnly="0" labelOnly="1" grandRow="1" outline="0" fieldPosition="0"/>
    </format>
    <format dxfId="12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7C8081-E2EC-4094-97C2-D71E27301940}" name="PT_KPI" cacheId="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x="1"/>
        <item h="1" x="2"/>
        <item h="1" x="3"/>
        <item h="1" x="4"/>
        <item h="1" x="5"/>
        <item h="1" x="6"/>
        <item h="1" x="7"/>
        <item h="1"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1273">
      <pivotArea outline="0" collapsedLevelsAreSubtotals="1" fieldPosition="0"/>
    </format>
    <format dxfId="1272">
      <pivotArea outline="0" collapsedLevelsAreSubtotals="1" fieldPosition="0">
        <references count="1">
          <reference field="4294967294" count="1" selected="0">
            <x v="3"/>
          </reference>
        </references>
      </pivotArea>
    </format>
    <format dxfId="1271">
      <pivotArea type="all" dataOnly="0" outline="0" fieldPosition="0"/>
    </format>
    <format dxfId="1270">
      <pivotArea outline="0" collapsedLevelsAreSubtotals="1" fieldPosition="0"/>
    </format>
    <format dxfId="1269">
      <pivotArea dataOnly="0" labelOnly="1" outline="0" fieldPosition="0">
        <references count="1">
          <reference field="4294967294" count="4">
            <x v="0"/>
            <x v="1"/>
            <x v="2"/>
            <x v="3"/>
          </reference>
        </references>
      </pivotArea>
    </format>
    <format dxfId="1268">
      <pivotArea type="all" dataOnly="0" outline="0" fieldPosition="0"/>
    </format>
    <format dxfId="1267">
      <pivotArea outline="0" collapsedLevelsAreSubtotals="1" fieldPosition="0"/>
    </format>
    <format dxfId="1266">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9A681F-9DF2-4CC3-9432-0BE197AACDF8}" name="PT_ApprovedStatus"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1274">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C81B49-2C88-4669-8797-97EB3229B9A3}" name="PT_MonthlyTrend"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x="1"/>
        <item h="1" x="2"/>
        <item h="1" x="3"/>
        <item h="1" x="4"/>
        <item h="1" x="5"/>
        <item h="1" x="6"/>
        <item h="1" x="7"/>
        <item h="1" x="8"/>
        <item h="1" x="9"/>
        <item h="1" x="10"/>
        <item h="1" x="11"/>
        <item t="default"/>
      </items>
    </pivotField>
  </pivotFields>
  <rowFields count="1">
    <field x="12"/>
  </rowFields>
  <rowItems count="2">
    <i>
      <x v="1"/>
    </i>
    <i t="grand">
      <x/>
    </i>
  </rowItems>
  <colItems count="1">
    <i/>
  </colItems>
  <dataFields count="1">
    <dataField name="Sum of Amount (INR)" fld="5" baseField="0" baseItem="0" numFmtId="165"/>
  </dataFields>
  <formats count="12">
    <format dxfId="1286">
      <pivotArea type="all" dataOnly="0" outline="0" fieldPosition="0"/>
    </format>
    <format dxfId="1285">
      <pivotArea outline="0" collapsedLevelsAreSubtotals="1" fieldPosition="0"/>
    </format>
    <format dxfId="1284">
      <pivotArea field="12" type="button" dataOnly="0" labelOnly="1" outline="0" axis="axisRow" fieldPosition="0"/>
    </format>
    <format dxfId="1283">
      <pivotArea dataOnly="0" labelOnly="1" outline="0" fieldPosition="0">
        <references count="1">
          <reference field="12" count="0"/>
        </references>
      </pivotArea>
    </format>
    <format dxfId="1282">
      <pivotArea dataOnly="0" labelOnly="1" grandRow="1" outline="0" fieldPosition="0"/>
    </format>
    <format dxfId="1281">
      <pivotArea dataOnly="0" labelOnly="1" outline="0" axis="axisValues" fieldPosition="0"/>
    </format>
    <format dxfId="1280">
      <pivotArea type="all" dataOnly="0" outline="0" fieldPosition="0"/>
    </format>
    <format dxfId="1279">
      <pivotArea outline="0" collapsedLevelsAreSubtotals="1" fieldPosition="0"/>
    </format>
    <format dxfId="1278">
      <pivotArea field="12" type="button" dataOnly="0" labelOnly="1" outline="0" axis="axisRow" fieldPosition="0"/>
    </format>
    <format dxfId="1277">
      <pivotArea dataOnly="0" labelOnly="1" outline="0" fieldPosition="0">
        <references count="1">
          <reference field="12" count="0"/>
        </references>
      </pivotArea>
    </format>
    <format dxfId="1276">
      <pivotArea dataOnly="0" labelOnly="1" grandRow="1" outline="0" fieldPosition="0"/>
    </format>
    <format dxfId="127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F0D0D12-90DE-428B-AE31-3F58877ACFB6}" name="PT_ExpenseByCategory"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1"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3"/>
  </rowFields>
  <rowItems count="8">
    <i>
      <x/>
    </i>
    <i>
      <x v="1"/>
    </i>
    <i>
      <x v="3"/>
    </i>
    <i>
      <x v="4"/>
    </i>
    <i>
      <x v="5"/>
    </i>
    <i>
      <x v="6"/>
    </i>
    <i>
      <x v="7"/>
    </i>
    <i t="grand">
      <x/>
    </i>
  </rowItems>
  <colItems count="1">
    <i/>
  </colItems>
  <dataFields count="1">
    <dataField name="Sum of Amount (INR)" fld="5" baseField="0" baseItem="0" numFmtId="165"/>
  </dataFields>
  <formats count="12">
    <format dxfId="1298">
      <pivotArea type="all" dataOnly="0" outline="0" fieldPosition="0"/>
    </format>
    <format dxfId="1297">
      <pivotArea outline="0" collapsedLevelsAreSubtotals="1" fieldPosition="0"/>
    </format>
    <format dxfId="1296">
      <pivotArea field="3" type="button" dataOnly="0" labelOnly="1" outline="0" axis="axisRow" fieldPosition="0"/>
    </format>
    <format dxfId="1295">
      <pivotArea dataOnly="0" labelOnly="1" outline="0" fieldPosition="0">
        <references count="1">
          <reference field="3" count="0"/>
        </references>
      </pivotArea>
    </format>
    <format dxfId="1294">
      <pivotArea dataOnly="0" labelOnly="1" grandRow="1" outline="0" fieldPosition="0"/>
    </format>
    <format dxfId="1293">
      <pivotArea dataOnly="0" labelOnly="1" outline="0" axis="axisValues" fieldPosition="0"/>
    </format>
    <format dxfId="1292">
      <pivotArea type="all" dataOnly="0" outline="0" fieldPosition="0"/>
    </format>
    <format dxfId="1291">
      <pivotArea outline="0" collapsedLevelsAreSubtotals="1" fieldPosition="0"/>
    </format>
    <format dxfId="1290">
      <pivotArea field="3" type="button" dataOnly="0" labelOnly="1" outline="0" axis="axisRow" fieldPosition="0"/>
    </format>
    <format dxfId="1289">
      <pivotArea dataOnly="0" labelOnly="1" outline="0" fieldPosition="0">
        <references count="1">
          <reference field="3" count="0"/>
        </references>
      </pivotArea>
    </format>
    <format dxfId="1288">
      <pivotArea dataOnly="0" labelOnly="1" grandRow="1" outline="0" fieldPosition="0"/>
    </format>
    <format dxfId="128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446593-BBC9-4E75-8F9A-2213433E8DD9}" name="PT_ExpenseByDepartment" cacheId="6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1310">
      <pivotArea type="all" dataOnly="0" outline="0" fieldPosition="0"/>
    </format>
    <format dxfId="1309">
      <pivotArea outline="0" collapsedLevelsAreSubtotals="1" fieldPosition="0"/>
    </format>
    <format dxfId="1308">
      <pivotArea field="2" type="button" dataOnly="0" labelOnly="1" outline="0" axis="axisRow" fieldPosition="0"/>
    </format>
    <format dxfId="1307">
      <pivotArea dataOnly="0" labelOnly="1" outline="0" fieldPosition="0">
        <references count="1">
          <reference field="2" count="0"/>
        </references>
      </pivotArea>
    </format>
    <format dxfId="1306">
      <pivotArea dataOnly="0" labelOnly="1" grandRow="1" outline="0" fieldPosition="0"/>
    </format>
    <format dxfId="1305">
      <pivotArea dataOnly="0" labelOnly="1" outline="0" axis="axisValues" fieldPosition="0"/>
    </format>
    <format dxfId="1304">
      <pivotArea type="all" dataOnly="0" outline="0" fieldPosition="0"/>
    </format>
    <format dxfId="1303">
      <pivotArea outline="0" collapsedLevelsAreSubtotals="1" fieldPosition="0"/>
    </format>
    <format dxfId="1302">
      <pivotArea field="2" type="button" dataOnly="0" labelOnly="1" outline="0" axis="axisRow" fieldPosition="0"/>
    </format>
    <format dxfId="1301">
      <pivotArea dataOnly="0" labelOnly="1" outline="0" fieldPosition="0">
        <references count="1">
          <reference field="2" count="0"/>
        </references>
      </pivotArea>
    </format>
    <format dxfId="1300">
      <pivotArea dataOnly="0" labelOnly="1" grandRow="1" outline="0" fieldPosition="0"/>
    </format>
    <format dxfId="129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B90DCFB-0D73-48EC-9B49-B7E3EC433F53}"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490612351">
      <items count="12">
        <i x="0"/>
        <i x="1" s="1"/>
        <i x="2"/>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B9B42559-6288-488A-8DDA-FEF9D31457F7}"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490612351">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680AE02-DB43-41FC-883F-99BDD04FD5C0}" cache="Slicer_Month" caption="Month" columnCount="4" style="SlicerStyleLight6" rowHeight="247650"/>
  <slicer name="Department" xr10:uid="{7D8481DC-9E4F-4EBC-8A77-5DB3B90CF797}"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A18384-F42D-4939-9E85-5F325D1FC404}" name="tblExpenses" displayName="tblExpenses" ref="A1:M416" totalsRowShown="0" headerRowDxfId="1311">
  <autoFilter ref="A1:M416" xr:uid="{55A18384-F42D-4939-9E85-5F325D1FC404}"/>
  <tableColumns count="13">
    <tableColumn id="1" xr3:uid="{3ACC4AE0-3C57-438D-BB7D-9FBA61C9E525}" name="Expense ID"/>
    <tableColumn id="2" xr3:uid="{21F5C226-9BCE-4113-8503-BFE184FEA4D4}" name="Date" dataDxfId="1315"/>
    <tableColumn id="3" xr3:uid="{1B4C2101-A3FA-4A14-8FD7-1D94D7ECB18D}" name="Department"/>
    <tableColumn id="4" xr3:uid="{D5773EA4-DC4B-4331-AC9E-8C5B3AC604B4}" name="Category"/>
    <tableColumn id="5" xr3:uid="{4C80D1E3-045D-4BCB-B8F4-116B258DE6DB}" name="Description"/>
    <tableColumn id="6" xr3:uid="{F197BF51-EDAF-4C12-B4AC-34CA098F6A6A}" name="Amount (INR)" dataDxfId="1314"/>
    <tableColumn id="7" xr3:uid="{AEED7C94-74DF-403E-B1EA-3AF02E5677FF}" name="Payment Method"/>
    <tableColumn id="8" xr3:uid="{63105B7A-21A8-486B-9FED-46A0F1100CC6}" name="Approved"/>
    <tableColumn id="9" xr3:uid="{BAE95E4A-AFCF-4D60-933C-CFD756908B63}" name="Budget Allocated" dataDxfId="1313"/>
    <tableColumn id="10" xr3:uid="{73DC75D0-29E0-497E-81B2-1597E8C13C50}" name="Budget Remaining" dataDxfId="1312"/>
    <tableColumn id="11" xr3:uid="{143D7543-AF1F-467F-8280-C40F1EC6D47A}" name="Vendor Name"/>
    <tableColumn id="12" xr3:uid="{B1836C1C-266B-4A2A-A78F-19E39B7CEA0C}" name="Invoice Number"/>
    <tableColumn id="13" xr3:uid="{D1941A94-350B-45D8-8D49-D460905D8FDD}"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AB770-984A-459B-A625-9589DA9BA8EB}">
  <sheetPr codeName="Sheet3">
    <pageSetUpPr fitToPage="1"/>
  </sheetPr>
  <dimension ref="A1:AF29"/>
  <sheetViews>
    <sheetView showGridLines="0" tabSelected="1" zoomScale="72" zoomScaleNormal="70" workbookViewId="0"/>
  </sheetViews>
  <sheetFormatPr defaultRowHeight="13.8" x14ac:dyDescent="0.3"/>
  <cols>
    <col min="1" max="30" width="8.109375" style="11" customWidth="1"/>
    <col min="31" max="31" width="8.88671875" style="11"/>
    <col min="32" max="33" width="0" style="11" hidden="1" customWidth="1"/>
    <col min="34" max="16384" width="8.88671875" style="11"/>
  </cols>
  <sheetData>
    <row r="1" spans="1:32" ht="22.05" customHeight="1" x14ac:dyDescent="0.3">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2.05" customHeight="1" x14ac:dyDescent="0.3">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1058599</v>
      </c>
    </row>
    <row r="3" spans="1:32" ht="22.05" customHeight="1" x14ac:dyDescent="0.3">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1285851</v>
      </c>
    </row>
    <row r="4" spans="1:32" ht="18" customHeight="1" x14ac:dyDescent="0.3">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227252</v>
      </c>
    </row>
    <row r="5" spans="1:32" ht="18" customHeight="1" x14ac:dyDescent="0.3">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28</v>
      </c>
    </row>
    <row r="6" spans="1:32" ht="18" customHeight="1" x14ac:dyDescent="0.3">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0.75</v>
      </c>
    </row>
    <row r="7" spans="1:32" ht="18" customHeight="1" x14ac:dyDescent="0.3">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37807.107142857145</v>
      </c>
    </row>
    <row r="8" spans="1:32" ht="18" customHeight="1" x14ac:dyDescent="0.3">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3">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3">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3">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3">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3">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3">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3">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3">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3">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3">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3">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3">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3">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3">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3">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3">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3">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3">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3">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3">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S26" sqref="S26"/>
    </sheetView>
  </sheetViews>
  <sheetFormatPr defaultRowHeight="14.4" x14ac:dyDescent="0.3"/>
  <cols>
    <col min="1" max="1" width="12.21875" bestFit="1" customWidth="1"/>
    <col min="2" max="2" width="11.5546875" bestFit="1" customWidth="1"/>
    <col min="3" max="3" width="13.21875" bestFit="1" customWidth="1"/>
    <col min="4" max="4" width="13.109375" bestFit="1" customWidth="1"/>
    <col min="5" max="5" width="31.21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5546875"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FBF7-76E3-4D61-9772-3AEE3E1E8607}">
  <sheetPr codeName="Sheet2"/>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5" t="s">
        <v>2</v>
      </c>
      <c r="B3" s="6" t="s">
        <v>920</v>
      </c>
      <c r="D3" s="5" t="s">
        <v>3</v>
      </c>
      <c r="E3" s="6" t="s">
        <v>920</v>
      </c>
      <c r="G3" s="5" t="s">
        <v>918</v>
      </c>
      <c r="H3" s="6" t="s">
        <v>920</v>
      </c>
      <c r="J3" s="4" t="s">
        <v>7</v>
      </c>
      <c r="K3" t="s">
        <v>920</v>
      </c>
      <c r="L3" t="s">
        <v>922</v>
      </c>
      <c r="M3" s="6" t="s">
        <v>920</v>
      </c>
      <c r="N3" s="6" t="s">
        <v>923</v>
      </c>
      <c r="O3" s="6" t="s">
        <v>924</v>
      </c>
      <c r="P3" s="6" t="s">
        <v>922</v>
      </c>
    </row>
    <row r="4" spans="1:16" x14ac:dyDescent="0.3">
      <c r="A4" s="6" t="s">
        <v>13</v>
      </c>
      <c r="B4" s="7">
        <v>143544</v>
      </c>
      <c r="D4" s="6" t="s">
        <v>31</v>
      </c>
      <c r="E4" s="7">
        <v>336690</v>
      </c>
      <c r="G4" s="6" t="s">
        <v>921</v>
      </c>
      <c r="H4" s="7">
        <v>1058599</v>
      </c>
      <c r="J4" t="s">
        <v>43</v>
      </c>
      <c r="K4" s="2">
        <v>164307</v>
      </c>
      <c r="L4" s="9">
        <v>7</v>
      </c>
      <c r="M4" s="7">
        <v>1058599</v>
      </c>
      <c r="N4" s="7">
        <v>1285851</v>
      </c>
      <c r="O4" s="7">
        <v>227252</v>
      </c>
      <c r="P4" s="10">
        <v>28</v>
      </c>
    </row>
    <row r="5" spans="1:16" x14ac:dyDescent="0.3">
      <c r="A5" s="6" t="s">
        <v>92</v>
      </c>
      <c r="B5" s="7">
        <v>148630</v>
      </c>
      <c r="D5" s="6" t="s">
        <v>36</v>
      </c>
      <c r="E5" s="7">
        <v>322587</v>
      </c>
      <c r="G5" s="6" t="s">
        <v>919</v>
      </c>
      <c r="H5" s="7">
        <v>1058599</v>
      </c>
      <c r="J5" t="s">
        <v>17</v>
      </c>
      <c r="K5" s="2">
        <v>894292</v>
      </c>
      <c r="L5" s="9">
        <v>21</v>
      </c>
    </row>
    <row r="6" spans="1:16" x14ac:dyDescent="0.3">
      <c r="A6" s="6" t="s">
        <v>72</v>
      </c>
      <c r="B6" s="7">
        <v>259830</v>
      </c>
      <c r="D6" s="6" t="s">
        <v>26</v>
      </c>
      <c r="E6" s="7">
        <v>20310</v>
      </c>
      <c r="J6" t="s">
        <v>919</v>
      </c>
      <c r="K6" s="2">
        <v>1058599</v>
      </c>
      <c r="L6" s="8">
        <v>28</v>
      </c>
    </row>
    <row r="7" spans="1:16" x14ac:dyDescent="0.3">
      <c r="A7" s="6" t="s">
        <v>21</v>
      </c>
      <c r="B7" s="7">
        <v>256690</v>
      </c>
      <c r="D7" s="6" t="s">
        <v>14</v>
      </c>
      <c r="E7" s="7">
        <v>217732</v>
      </c>
    </row>
    <row r="8" spans="1:16" x14ac:dyDescent="0.3">
      <c r="A8" s="6" t="s">
        <v>114</v>
      </c>
      <c r="B8" s="7">
        <v>51333</v>
      </c>
      <c r="D8" s="6" t="s">
        <v>132</v>
      </c>
      <c r="E8" s="7">
        <v>69412</v>
      </c>
    </row>
    <row r="9" spans="1:16" x14ac:dyDescent="0.3">
      <c r="A9" s="6" t="s">
        <v>46</v>
      </c>
      <c r="B9" s="7">
        <v>198572</v>
      </c>
      <c r="D9" s="6" t="s">
        <v>58</v>
      </c>
      <c r="E9" s="7">
        <v>59230</v>
      </c>
    </row>
    <row r="10" spans="1:16" x14ac:dyDescent="0.3">
      <c r="A10" s="6" t="s">
        <v>919</v>
      </c>
      <c r="B10" s="7">
        <v>1058599</v>
      </c>
      <c r="D10" s="6" t="s">
        <v>54</v>
      </c>
      <c r="E10" s="7">
        <v>32638</v>
      </c>
    </row>
    <row r="11" spans="1:16" x14ac:dyDescent="0.3">
      <c r="D11" s="6" t="s">
        <v>919</v>
      </c>
      <c r="E11" s="7">
        <v>1058599</v>
      </c>
    </row>
    <row r="25" spans="1:6" x14ac:dyDescent="0.3">
      <c r="A25" s="5" t="s">
        <v>6</v>
      </c>
      <c r="B25" s="6" t="s">
        <v>920</v>
      </c>
      <c r="D25" s="5" t="s">
        <v>2</v>
      </c>
      <c r="E25" s="6" t="s">
        <v>925</v>
      </c>
      <c r="F25" s="6" t="s">
        <v>923</v>
      </c>
    </row>
    <row r="26" spans="1:6" x14ac:dyDescent="0.3">
      <c r="A26" s="6" t="s">
        <v>51</v>
      </c>
      <c r="B26" s="7">
        <v>333416</v>
      </c>
      <c r="D26" s="6" t="s">
        <v>13</v>
      </c>
      <c r="E26" s="7">
        <v>143544</v>
      </c>
      <c r="F26" s="7">
        <v>173370</v>
      </c>
    </row>
    <row r="27" spans="1:6" x14ac:dyDescent="0.3">
      <c r="A27" s="6" t="s">
        <v>16</v>
      </c>
      <c r="B27" s="7">
        <v>298641</v>
      </c>
      <c r="D27" s="6" t="s">
        <v>92</v>
      </c>
      <c r="E27" s="7">
        <v>148630</v>
      </c>
      <c r="F27" s="7">
        <v>188489</v>
      </c>
    </row>
    <row r="28" spans="1:6" x14ac:dyDescent="0.3">
      <c r="A28" s="6" t="s">
        <v>38</v>
      </c>
      <c r="B28" s="7">
        <v>260750</v>
      </c>
      <c r="D28" s="6" t="s">
        <v>72</v>
      </c>
      <c r="E28" s="7">
        <v>259830</v>
      </c>
      <c r="F28" s="7">
        <v>286728</v>
      </c>
    </row>
    <row r="29" spans="1:6" x14ac:dyDescent="0.3">
      <c r="A29" s="6" t="s">
        <v>23</v>
      </c>
      <c r="B29" s="7">
        <v>165792</v>
      </c>
      <c r="D29" s="6" t="s">
        <v>21</v>
      </c>
      <c r="E29" s="7">
        <v>256690</v>
      </c>
      <c r="F29" s="7">
        <v>320371</v>
      </c>
    </row>
    <row r="30" spans="1:6" x14ac:dyDescent="0.3">
      <c r="A30" s="6" t="s">
        <v>919</v>
      </c>
      <c r="B30" s="7">
        <v>1058599</v>
      </c>
      <c r="D30" s="6" t="s">
        <v>114</v>
      </c>
      <c r="E30" s="7">
        <v>51333</v>
      </c>
      <c r="F30" s="7">
        <v>61943</v>
      </c>
    </row>
    <row r="31" spans="1:6" x14ac:dyDescent="0.3">
      <c r="D31" s="6" t="s">
        <v>46</v>
      </c>
      <c r="E31" s="7">
        <v>198572</v>
      </c>
      <c r="F31" s="7">
        <v>254950</v>
      </c>
    </row>
    <row r="32" spans="1:6" x14ac:dyDescent="0.3">
      <c r="D32" s="6" t="s">
        <v>919</v>
      </c>
      <c r="E32" s="7">
        <v>1058599</v>
      </c>
      <c r="F32" s="7">
        <v>1285851</v>
      </c>
    </row>
    <row r="50" spans="1:15" x14ac:dyDescent="0.3">
      <c r="A50" t="s">
        <v>2</v>
      </c>
      <c r="B50" t="s">
        <v>926</v>
      </c>
      <c r="D50" t="s">
        <v>3</v>
      </c>
      <c r="E50" t="s">
        <v>926</v>
      </c>
      <c r="G50" t="s">
        <v>918</v>
      </c>
      <c r="H50" t="s">
        <v>926</v>
      </c>
      <c r="J50" t="s">
        <v>6</v>
      </c>
      <c r="K50" t="s">
        <v>926</v>
      </c>
      <c r="M50" t="s">
        <v>2</v>
      </c>
      <c r="N50" t="s">
        <v>925</v>
      </c>
      <c r="O50" t="s">
        <v>8</v>
      </c>
    </row>
    <row r="51" spans="1:15" x14ac:dyDescent="0.3">
      <c r="A51" t="str">
        <f>Pivot!$A$4</f>
        <v>Engineering</v>
      </c>
      <c r="B51" s="2">
        <f>Pivot!$B$4</f>
        <v>143544</v>
      </c>
      <c r="D51" t="str">
        <f>Pivot!$D$4</f>
        <v>Consulting</v>
      </c>
      <c r="E51" s="2">
        <f>Pivot!$E$4</f>
        <v>336690</v>
      </c>
      <c r="G51" t="str">
        <f>Pivot!$G$4</f>
        <v>Feb</v>
      </c>
      <c r="H51" s="2">
        <f>Pivot!$H$4</f>
        <v>1058599</v>
      </c>
      <c r="J51" t="str">
        <f>Pivot!$A$26</f>
        <v>Bank Transfer</v>
      </c>
      <c r="K51" s="2">
        <f>Pivot!$B$26</f>
        <v>333416</v>
      </c>
      <c r="M51" t="str">
        <f>Pivot!$D$26</f>
        <v>Engineering</v>
      </c>
      <c r="N51" s="2">
        <f>Pivot!$E$26</f>
        <v>143544</v>
      </c>
      <c r="O51" s="2">
        <f>Pivot!$F$26</f>
        <v>173370</v>
      </c>
    </row>
    <row r="52" spans="1:15" x14ac:dyDescent="0.3">
      <c r="A52" t="str">
        <f>Pivot!$A$5</f>
        <v>Finance</v>
      </c>
      <c r="B52" s="2">
        <f>Pivot!$B$5</f>
        <v>148630</v>
      </c>
      <c r="D52" t="str">
        <f>Pivot!$D$5</f>
        <v>Equipment</v>
      </c>
      <c r="E52" s="2">
        <f>Pivot!$E$5</f>
        <v>322587</v>
      </c>
      <c r="G52" t="str">
        <f>Pivot!$G$5</f>
        <v>Grand Total</v>
      </c>
      <c r="H52" s="2">
        <f>Pivot!$H$5</f>
        <v>1058599</v>
      </c>
      <c r="J52" t="str">
        <f>Pivot!$A$27</f>
        <v>Cash</v>
      </c>
      <c r="K52" s="2">
        <f>Pivot!$B$27</f>
        <v>298641</v>
      </c>
      <c r="M52" t="str">
        <f>Pivot!$D$27</f>
        <v>Finance</v>
      </c>
      <c r="N52" s="2">
        <f>Pivot!$E$27</f>
        <v>148630</v>
      </c>
      <c r="O52" s="2">
        <f>Pivot!$F$27</f>
        <v>188489</v>
      </c>
    </row>
    <row r="53" spans="1:15" x14ac:dyDescent="0.3">
      <c r="A53" t="str">
        <f>Pivot!$A$6</f>
        <v>HR</v>
      </c>
      <c r="B53" s="2">
        <f>Pivot!$B$6</f>
        <v>259830</v>
      </c>
      <c r="D53" t="str">
        <f>Pivot!$D$6</f>
        <v>Office Supplies</v>
      </c>
      <c r="E53" s="2">
        <f>Pivot!$E$6</f>
        <v>20310</v>
      </c>
      <c r="G53">
        <f>Pivot!$G$6</f>
        <v>0</v>
      </c>
      <c r="H53" s="2">
        <f>Pivot!$H$6</f>
        <v>0</v>
      </c>
      <c r="J53" t="str">
        <f>Pivot!$A$28</f>
        <v>Cheque</v>
      </c>
      <c r="K53" s="2">
        <f>Pivot!$B$28</f>
        <v>260750</v>
      </c>
      <c r="M53" t="str">
        <f>Pivot!$D$28</f>
        <v>HR</v>
      </c>
      <c r="N53" s="2">
        <f>Pivot!$E$28</f>
        <v>259830</v>
      </c>
      <c r="O53" s="2">
        <f>Pivot!$F$28</f>
        <v>286728</v>
      </c>
    </row>
    <row r="54" spans="1:15" x14ac:dyDescent="0.3">
      <c r="A54" t="str">
        <f>Pivot!$A$7</f>
        <v>Marketing</v>
      </c>
      <c r="B54" s="2">
        <f>Pivot!$B$7</f>
        <v>256690</v>
      </c>
      <c r="D54" t="str">
        <f>Pivot!$D$7</f>
        <v>Software</v>
      </c>
      <c r="E54" s="2">
        <f>Pivot!$E$7</f>
        <v>217732</v>
      </c>
      <c r="G54">
        <f>Pivot!$G$7</f>
        <v>0</v>
      </c>
      <c r="H54" s="2">
        <f>Pivot!$H$7</f>
        <v>0</v>
      </c>
      <c r="J54" t="str">
        <f>Pivot!$A$29</f>
        <v>Credit Card</v>
      </c>
      <c r="K54" s="2">
        <f>Pivot!$B$29</f>
        <v>165792</v>
      </c>
      <c r="M54" t="str">
        <f>Pivot!$D$29</f>
        <v>Marketing</v>
      </c>
      <c r="N54" s="2">
        <f>Pivot!$E$29</f>
        <v>256690</v>
      </c>
      <c r="O54" s="2">
        <f>Pivot!$F$29</f>
        <v>320371</v>
      </c>
    </row>
    <row r="55" spans="1:15" x14ac:dyDescent="0.3">
      <c r="A55" t="str">
        <f>Pivot!$A$8</f>
        <v>Operations</v>
      </c>
      <c r="B55" s="2">
        <f>Pivot!$B$8</f>
        <v>51333</v>
      </c>
      <c r="D55" t="str">
        <f>Pivot!$D$8</f>
        <v>Training</v>
      </c>
      <c r="E55" s="2">
        <f>Pivot!$E$8</f>
        <v>69412</v>
      </c>
      <c r="G55">
        <f>Pivot!$G$8</f>
        <v>0</v>
      </c>
      <c r="H55" s="2">
        <f>Pivot!$H$8</f>
        <v>0</v>
      </c>
      <c r="M55" t="str">
        <f>Pivot!$D$30</f>
        <v>Operations</v>
      </c>
      <c r="N55" s="2">
        <f>Pivot!$E$30</f>
        <v>51333</v>
      </c>
      <c r="O55" s="2">
        <f>Pivot!$F$30</f>
        <v>61943</v>
      </c>
    </row>
    <row r="56" spans="1:15" x14ac:dyDescent="0.3">
      <c r="A56" t="str">
        <f>Pivot!$A$9</f>
        <v>Sales</v>
      </c>
      <c r="B56" s="2">
        <f>Pivot!$B$9</f>
        <v>198572</v>
      </c>
      <c r="D56" t="str">
        <f>Pivot!$D$9</f>
        <v>Travel</v>
      </c>
      <c r="E56" s="2">
        <f>Pivot!$E$9</f>
        <v>59230</v>
      </c>
      <c r="G56">
        <f>Pivot!$G$9</f>
        <v>0</v>
      </c>
      <c r="H56" s="2">
        <f>Pivot!$H$9</f>
        <v>0</v>
      </c>
      <c r="M56" t="str">
        <f>Pivot!$D$31</f>
        <v>Sales</v>
      </c>
      <c r="N56" s="2">
        <f>Pivot!$E$31</f>
        <v>198572</v>
      </c>
      <c r="O56" s="2">
        <f>Pivot!$F$31</f>
        <v>254950</v>
      </c>
    </row>
    <row r="57" spans="1:15" x14ac:dyDescent="0.3">
      <c r="D57" t="str">
        <f>Pivot!$D$10</f>
        <v>Utilities</v>
      </c>
      <c r="E57" s="2">
        <f>Pivot!$E$10</f>
        <v>32638</v>
      </c>
      <c r="G57">
        <f>Pivot!$G$10</f>
        <v>0</v>
      </c>
      <c r="H57" s="2">
        <f>Pivot!$H$10</f>
        <v>0</v>
      </c>
    </row>
    <row r="58" spans="1:15" x14ac:dyDescent="0.3">
      <c r="D58" t="str">
        <f>Pivot!$D$11</f>
        <v>Grand Total</v>
      </c>
      <c r="E58" s="2">
        <f>Pivot!$E$11</f>
        <v>1058599</v>
      </c>
      <c r="G58">
        <f>Pivot!$G$11</f>
        <v>0</v>
      </c>
      <c r="H58" s="2">
        <f>Pivot!$H$11</f>
        <v>0</v>
      </c>
    </row>
    <row r="59" spans="1:15" x14ac:dyDescent="0.3">
      <c r="G59">
        <f>Pivot!$G$12</f>
        <v>0</v>
      </c>
      <c r="H59" s="2">
        <f>Pivot!$H$12</f>
        <v>0</v>
      </c>
    </row>
    <row r="60" spans="1:15" x14ac:dyDescent="0.3">
      <c r="G60">
        <f>Pivot!$G$13</f>
        <v>0</v>
      </c>
      <c r="H60" s="2">
        <f>Pivot!$H$13</f>
        <v>0</v>
      </c>
    </row>
    <row r="61" spans="1:15" x14ac:dyDescent="0.3">
      <c r="G61">
        <f>Pivot!$G$14</f>
        <v>0</v>
      </c>
      <c r="H61" s="2">
        <f>Pivot!$H$14</f>
        <v>0</v>
      </c>
    </row>
    <row r="62" spans="1:15" x14ac:dyDescent="0.3">
      <c r="G62">
        <f>Pivot!$G$15</f>
        <v>0</v>
      </c>
      <c r="H62" s="2">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Dharsani gunasekaran</cp:lastModifiedBy>
  <dcterms:created xsi:type="dcterms:W3CDTF">2026-05-19T08:07:04Z</dcterms:created>
  <dcterms:modified xsi:type="dcterms:W3CDTF">2026-08-16T13:42:50Z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